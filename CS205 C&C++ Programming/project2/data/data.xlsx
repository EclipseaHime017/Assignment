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<sst xmlns="http://schemas.openxmlformats.org/spreadsheetml/2006/main" count="22" uniqueCount="22">
  <si>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矩阵大小</t>
  </si>
  <si>
    <t>c1</t>
  </si>
  <si>
    <t>c2</t>
  </si>
  <si>
    <t>c3</t>
  </si>
  <si>
    <t>c4</t>
  </si>
  <si>
    <t>c5</t>
  </si>
  <si>
    <t>cmid</t>
  </si>
  <si>
    <t>j1</t>
  </si>
  <si>
    <t>j2</t>
  </si>
  <si>
    <t>j3</t>
  </si>
  <si>
    <t>j4</t>
  </si>
  <si>
    <t>j5</t>
  </si>
  <si>
    <t>jmid</t>
  </si>
  <si>
    <t>c.1</t>
  </si>
  <si>
    <t>c.2</t>
  </si>
  <si>
    <t>c.3</t>
  </si>
  <si>
    <t>c.4</t>
  </si>
  <si>
    <t>c.5</t>
  </si>
  <si>
    <t>c.mid</t>
  </si>
  <si>
    <t>Co3_AVERAGE</t>
  </si>
  <si>
    <t>C_AVERAGE</t>
  </si>
  <si>
    <t>Java_AVERAGE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</si>
</sst>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D19" sqref="D19"/>
    </sheetView>
  </sheetViews>
  <sheetFormatPr defaultColWidth="8.88888888888889" defaultRowHeight="14.4"/>
  <cols>
    <col min="1" max="1" width="14.6666666666667" customWidth="1"/>
    <col min="2" max="2" width="14.1111111111111" customWidth="1"/>
    <col min="3" max="3" width="14.6666666666667" customWidth="1"/>
    <col min="4" max="4" width="13.4444444444444" customWidth="1"/>
    <col min="7" max="7" width="12.8888888888889"/>
    <col min="13" max="13" width="10.6666666666667"/>
    <col min="19" max="19" width="10.6666666666667"/>
  </cols>
  <sheetData>
    <row r="1" ht="26" customHeight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</v>
      </c>
      <c r="B2">
        <v>2e-6</v>
      </c>
      <c r="C2">
        <v>1e-6</v>
      </c>
      <c r="D2">
        <v>1e-6</v>
      </c>
      <c r="E2">
        <v>2e-6</v>
      </c>
      <c r="F2">
        <v>1e-6</v>
      </c>
      <c r="G2">
        <f>AVERAGE(B2:F2)</f>
        <v>1.4e-6</v>
      </c>
      <c r="M2">
        <v>3.15e-5</v>
      </c>
      <c r="N2">
        <v>7e-6</v>
      </c>
      <c r="O2">
        <v>5e-6</v>
      </c>
      <c r="P2">
        <v>5e-6</v>
      </c>
      <c r="Q2">
        <v>5e-6</v>
      </c>
      <c r="R2">
        <v>1e-5</v>
      </c>
      <c r="S2">
        <f>AVERAGE(N2:R2)</f>
        <v>6.4e-6</v>
      </c>
    </row>
    <row r="3" spans="1:19">
      <c r="A3">
        <v>20</v>
      </c>
      <c r="B3">
        <v>5e-6</v>
      </c>
      <c r="C3">
        <v>5e-6</v>
      </c>
      <c r="D3">
        <v>5e-6</v>
      </c>
      <c r="E3">
        <v>4e-6</v>
      </c>
      <c r="F3">
        <v>5e-6</v>
      </c>
      <c r="G3">
        <f>AVERAGE(B3:F3)</f>
        <v>4.8e-6</v>
      </c>
      <c r="M3">
        <v>0.0002402</v>
      </c>
      <c r="N3">
        <v>3.5e-5</v>
      </c>
      <c r="O3">
        <v>6.9e-5</v>
      </c>
      <c r="P3">
        <v>3.7e-5</v>
      </c>
      <c r="Q3">
        <v>3.8e-5</v>
      </c>
      <c r="R3">
        <v>4e-5</v>
      </c>
      <c r="S3">
        <f>AVERAGE(N3:R3)</f>
        <v>4.38e-5</v>
      </c>
    </row>
    <row r="4" spans="1:19">
      <c r="A4">
        <v>50</v>
      </c>
      <c r="B4">
        <v>9.6e-5</v>
      </c>
      <c r="C4">
        <v>6.7e-5</v>
      </c>
      <c r="D4">
        <v>0.000125</v>
      </c>
      <c r="E4">
        <v>6.5e-5</v>
      </c>
      <c r="F4">
        <v>6.5e-5</v>
      </c>
      <c r="G4">
        <f>AVERAGE(B4:F4)</f>
        <v>8.36e-5</v>
      </c>
      <c r="H4">
        <v>0.003</v>
      </c>
      <c r="I4">
        <v>0.002</v>
      </c>
      <c r="J4">
        <v>0.002</v>
      </c>
      <c r="K4">
        <v>0.002</v>
      </c>
      <c r="L4">
        <v>0.003</v>
      </c>
      <c r="M4">
        <f>AVERAGE(H4:L4)</f>
        <v>0.0024</v>
      </c>
      <c r="N4">
        <v>0.000568</v>
      </c>
      <c r="O4">
        <v>0.00054</v>
      </c>
      <c r="P4">
        <v>0.00086</v>
      </c>
      <c r="Q4">
        <v>0.000541</v>
      </c>
      <c r="R4">
        <v>0.001052</v>
      </c>
      <c r="S4">
        <f>AVERAGE(N4:R4)</f>
        <v>0.0007122</v>
      </c>
    </row>
    <row r="5" spans="1:19">
      <c r="A5">
        <v>100</v>
      </c>
      <c r="B5">
        <v>0.000519</v>
      </c>
      <c r="C5">
        <v>0.00104</v>
      </c>
      <c r="D5">
        <v>0.000654</v>
      </c>
      <c r="E5">
        <v>0.000485</v>
      </c>
      <c r="F5">
        <v>0.000462</v>
      </c>
      <c r="G5">
        <f>AVERAGE(B5:F5)</f>
        <v>0.000632</v>
      </c>
      <c r="H5">
        <v>0.005</v>
      </c>
      <c r="I5">
        <v>0.005</v>
      </c>
      <c r="J5">
        <v>0.005</v>
      </c>
      <c r="K5">
        <v>0.005</v>
      </c>
      <c r="L5">
        <v>0.005</v>
      </c>
      <c r="M5">
        <v>0.005</v>
      </c>
      <c r="N5">
        <v>0.004868</v>
      </c>
      <c r="O5">
        <v>0.004466</v>
      </c>
      <c r="P5">
        <v>0.005034</v>
      </c>
      <c r="Q5">
        <v>0.004608</v>
      </c>
      <c r="R5">
        <v>0.004466</v>
      </c>
      <c r="S5">
        <f>AVERAGE(N5:R5)</f>
        <v>0.0046884</v>
      </c>
    </row>
    <row r="6" spans="1:19">
      <c r="A6">
        <v>200</v>
      </c>
      <c r="B6">
        <v>0.004265</v>
      </c>
      <c r="C6">
        <v>0.004204</v>
      </c>
      <c r="D6">
        <v>0.004409</v>
      </c>
      <c r="E6">
        <v>0.004346</v>
      </c>
      <c r="F6">
        <v>0.00417</v>
      </c>
      <c r="G6">
        <f>AVERAGE(B6:F6)</f>
        <v>0.0042788</v>
      </c>
      <c r="H6">
        <v>0.012</v>
      </c>
      <c r="I6">
        <v>0.012</v>
      </c>
      <c r="J6">
        <v>0.013</v>
      </c>
      <c r="K6">
        <v>0.014</v>
      </c>
      <c r="L6">
        <v>0.013</v>
      </c>
      <c r="M6">
        <f>AVERAGE(H6:L6)</f>
        <v>0.0128</v>
      </c>
      <c r="N6">
        <v>0.036543</v>
      </c>
      <c r="O6">
        <v>0.037958</v>
      </c>
      <c r="P6">
        <v>0.036793</v>
      </c>
      <c r="Q6">
        <v>0.036885</v>
      </c>
      <c r="R6">
        <v>0.036776</v>
      </c>
      <c r="S6">
        <f>AVERAGE(N6:R6)</f>
        <v>0.036991</v>
      </c>
    </row>
    <row r="7" spans="1:19">
      <c r="A7">
        <v>500</v>
      </c>
      <c r="B7">
        <v>0.080212</v>
      </c>
      <c r="C7">
        <v>0.084128</v>
      </c>
      <c r="D7">
        <v>0.081036</v>
      </c>
      <c r="E7">
        <v>0.080402</v>
      </c>
      <c r="F7">
        <v>0.080487</v>
      </c>
      <c r="G7">
        <f>AVERAGE(B7:F7)</f>
        <v>0.081253</v>
      </c>
      <c r="H7">
        <v>0.101</v>
      </c>
      <c r="I7">
        <v>0.105</v>
      </c>
      <c r="J7">
        <v>0.104</v>
      </c>
      <c r="K7">
        <v>0.106</v>
      </c>
      <c r="L7">
        <v>0.106</v>
      </c>
      <c r="M7">
        <f>AVERAGE(H7:L7)</f>
        <v>0.1044</v>
      </c>
      <c r="N7">
        <v>0.572696</v>
      </c>
      <c r="O7">
        <v>0.566125</v>
      </c>
      <c r="P7">
        <v>0.560471</v>
      </c>
      <c r="Q7">
        <v>0.601431</v>
      </c>
      <c r="R7">
        <v>0.553536</v>
      </c>
      <c r="S7">
        <f>AVERAGE(N7:R7)</f>
        <v>0.5708518</v>
      </c>
    </row>
    <row r="8" spans="1:19">
      <c r="A8">
        <v>1000</v>
      </c>
      <c r="B8">
        <v>0.619256</v>
      </c>
      <c r="C8">
        <v>0.611695</v>
      </c>
      <c r="D8">
        <v>0.602682</v>
      </c>
      <c r="E8">
        <v>0.600378</v>
      </c>
      <c r="F8">
        <v>0.649788</v>
      </c>
      <c r="G8">
        <f>AVERAGE(B8:F8)</f>
        <v>0.6167598</v>
      </c>
      <c r="H8">
        <v>0.881</v>
      </c>
      <c r="I8">
        <v>0.824</v>
      </c>
      <c r="J8">
        <v>0.916</v>
      </c>
      <c r="K8">
        <v>0.826</v>
      </c>
      <c r="L8">
        <v>0.924</v>
      </c>
      <c r="M8">
        <f>AVERAGE(H8:L8)</f>
        <v>0.8742</v>
      </c>
      <c r="N8">
        <v>4.660134</v>
      </c>
      <c r="O8">
        <v>4.629701</v>
      </c>
      <c r="P8">
        <v>4.635441</v>
      </c>
      <c r="Q8">
        <v>4.912727</v>
      </c>
      <c r="R8">
        <v>4.887904</v>
      </c>
      <c r="S8">
        <f>AVERAGE(N8:R8)</f>
        <v>4.7451814</v>
      </c>
    </row>
    <row r="9" spans="1:19">
      <c r="A9">
        <v>2000</v>
      </c>
      <c r="G9">
        <v>5.291987</v>
      </c>
      <c r="M9">
        <v>15.249</v>
      </c>
      <c r="S9">
        <v>37.939557</v>
      </c>
    </row>
    <row r="11" spans="2:4">
      <c r="B11" t="s">
        <v>19</v>
      </c>
      <c r="C11" t="s">
        <v>20</v>
      </c>
      <c r="D11" t="s">
        <v>21</v>
      </c>
    </row>
    <row r="12" spans="1:4">
      <c r="A12">
        <v>10</v>
      </c>
      <c r="B12">
        <f t="shared" ref="B12:B18" si="0">AVERAGE(B2:F2)</f>
        <v>1.4e-6</v>
      </c>
      <c r="C12">
        <f t="shared" ref="C12:C18" si="1">AVERAGE(N2:R2)</f>
        <v>6.4e-6</v>
      </c>
      <c r="D12">
        <v>3.15e-5</v>
      </c>
    </row>
    <row r="13" spans="1:4">
      <c r="A13">
        <v>20</v>
      </c>
      <c r="B13">
        <f t="shared" si="0"/>
        <v>4.8e-6</v>
      </c>
      <c r="C13">
        <f t="shared" si="1"/>
        <v>4.38e-5</v>
      </c>
      <c r="D13">
        <v>0.0002402</v>
      </c>
    </row>
    <row r="14" spans="1:4">
      <c r="A14">
        <v>50</v>
      </c>
      <c r="B14">
        <f>AVERAGE(G4)</f>
        <v>8.36e-5</v>
      </c>
      <c r="C14">
        <f t="shared" si="1"/>
        <v>0.0007122</v>
      </c>
      <c r="D14">
        <f t="shared" ref="D14:D18" si="2">AVERAGE(H4:L4)</f>
        <v>0.0024</v>
      </c>
    </row>
    <row r="15" spans="1:4">
      <c r="A15">
        <v>100</v>
      </c>
      <c r="B15">
        <f t="shared" si="0"/>
        <v>0.000632</v>
      </c>
      <c r="C15">
        <f t="shared" si="1"/>
        <v>0.0046884</v>
      </c>
      <c r="D15">
        <v>0.005</v>
      </c>
    </row>
    <row r="16" spans="1:4">
      <c r="A16">
        <v>200</v>
      </c>
      <c r="B16">
        <f t="shared" si="0"/>
        <v>0.0042788</v>
      </c>
      <c r="C16">
        <f t="shared" si="1"/>
        <v>0.036991</v>
      </c>
      <c r="D16">
        <f t="shared" si="2"/>
        <v>0.0128</v>
      </c>
    </row>
    <row r="17" spans="1:4">
      <c r="A17">
        <v>500</v>
      </c>
      <c r="B17">
        <f t="shared" si="0"/>
        <v>0.081253</v>
      </c>
      <c r="C17">
        <f t="shared" si="1"/>
        <v>0.5708518</v>
      </c>
      <c r="D17">
        <f t="shared" si="2"/>
        <v>0.1044</v>
      </c>
    </row>
    <row r="18" spans="1:4">
      <c r="A18">
        <v>1000</v>
      </c>
      <c r="B18">
        <f t="shared" si="0"/>
        <v>0.6167598</v>
      </c>
      <c r="C18">
        <f t="shared" si="1"/>
        <v>4.7451814</v>
      </c>
      <c r="D18">
        <f t="shared" si="2"/>
        <v>0.8742</v>
      </c>
    </row>
    <row r="19" spans="1:4">
      <c r="A19">
        <v>2000</v>
      </c>
      <c r="B19">
        <v>5.291987</v>
      </c>
      <c r="C19">
        <v>37.939557</v>
      </c>
      <c r="D19">
        <v>15.249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Eclipse アルファ</cp:lastModifiedBy>
  <dcterms:created xsi:type="dcterms:W3CDTF">2024-03-30T05:28:00Z</dcterms:created>
  <dcterms:modified xsi:type="dcterms:W3CDTF">2024-03-30T16:56:34Z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B688552530BB47AFACCAB0F40D3E0EBF_11</vt:lpwstr>
  </property>
  <property fmtid="{D5CDD505-2E9C-101B-9397-08002B2CF9AE}" pid="3" name="KSOProductBuildVer">
    <vt:lpwstr>2052-12.1.0.16417</vt:lpwstr>
  </property>
</Properties>
</file>